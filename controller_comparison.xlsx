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wit\Downloads\ShipSimulation-1.1.0\ShipSimulation-1.1.0\"/>
    </mc:Choice>
  </mc:AlternateContent>
  <xr:revisionPtr revIDLastSave="0" documentId="8_{0BBC8E13-083E-4B86-9968-650B8E2E69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ary" sheetId="1" r:id="rId1"/>
    <sheet name="Results_pre_lag" sheetId="2" r:id="rId2"/>
    <sheet name="Results_post_la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3" l="1"/>
  <c r="H20" i="3"/>
  <c r="I19" i="3"/>
  <c r="H19" i="3"/>
  <c r="I18" i="3"/>
  <c r="H18" i="3"/>
  <c r="I8" i="3"/>
  <c r="H8" i="3"/>
  <c r="I7" i="3"/>
  <c r="H7" i="3"/>
  <c r="I6" i="3"/>
  <c r="H6" i="3"/>
  <c r="N39" i="2"/>
  <c r="M39" i="2"/>
  <c r="N38" i="2"/>
  <c r="M38" i="2"/>
  <c r="N37" i="2"/>
  <c r="M37" i="2"/>
  <c r="N36" i="2"/>
  <c r="M36" i="2"/>
  <c r="N35" i="2"/>
  <c r="M35" i="2"/>
  <c r="N34" i="2"/>
  <c r="M34" i="2"/>
  <c r="N28" i="2"/>
  <c r="M28" i="2"/>
  <c r="N27" i="2"/>
  <c r="M27" i="2"/>
  <c r="N26" i="2"/>
  <c r="M26" i="2"/>
  <c r="N25" i="2"/>
  <c r="M25" i="2"/>
  <c r="N24" i="2"/>
  <c r="M24" i="2"/>
  <c r="N23" i="2"/>
  <c r="M23" i="2"/>
  <c r="N11" i="2"/>
  <c r="M11" i="2"/>
  <c r="N10" i="2"/>
  <c r="M10" i="2"/>
  <c r="N9" i="2"/>
  <c r="M9" i="2"/>
  <c r="N8" i="2"/>
  <c r="M8" i="2"/>
  <c r="N7" i="2"/>
  <c r="M7" i="2"/>
  <c r="N6" i="2"/>
  <c r="M6" i="2"/>
  <c r="E14" i="1"/>
  <c r="D14" i="1"/>
  <c r="E13" i="1"/>
  <c r="D13" i="1"/>
  <c r="F9" i="1"/>
  <c r="G9" i="1" s="1"/>
  <c r="E9" i="1"/>
  <c r="H9" i="1" s="1"/>
  <c r="D9" i="1"/>
  <c r="F8" i="1"/>
  <c r="G8" i="1" s="1"/>
  <c r="E8" i="1"/>
  <c r="D8" i="1"/>
  <c r="H8" i="1" s="1"/>
  <c r="F7" i="1"/>
  <c r="E7" i="1"/>
  <c r="H7" i="1" s="1"/>
  <c r="D7" i="1"/>
  <c r="G7" i="1" s="1"/>
  <c r="F6" i="1"/>
  <c r="G6" i="1" s="1"/>
  <c r="E6" i="1"/>
  <c r="H6" i="1" s="1"/>
  <c r="D6" i="1"/>
  <c r="F5" i="1"/>
  <c r="G5" i="1" s="1"/>
  <c r="E5" i="1"/>
  <c r="H5" i="1" s="1"/>
  <c r="D5" i="1"/>
</calcChain>
</file>

<file path=xl/sharedStrings.xml><?xml version="1.0" encoding="utf-8"?>
<sst xmlns="http://schemas.openxmlformats.org/spreadsheetml/2006/main" count="218" uniqueCount="88">
  <si>
    <t>Fuzzy wave-activity MPC: effect of the 20 s scheduled-weight lag</t>
  </si>
  <si>
    <t>All numbers pull from the two data sheets. Green text = link to another sheet.</t>
  </si>
  <si>
    <t>Scenario</t>
  </si>
  <si>
    <t>Metric</t>
  </si>
  <si>
    <t>Unit</t>
  </si>
  <si>
    <t>MPC fixed</t>
  </si>
  <si>
    <t>Fuzzy-MPC before lag</t>
  </si>
  <si>
    <t>Fuzzy-MPC after lag</t>
  </si>
  <si>
    <t>After lag vs MPC fixed</t>
  </si>
  <si>
    <t>Before lag vs MPC fixed</t>
  </si>
  <si>
    <t>S1 calm water</t>
  </si>
  <si>
    <t>IAE of heading error</t>
  </si>
  <si>
    <t>deg*s</t>
  </si>
  <si>
    <t>Mean rudder rate</t>
  </si>
  <si>
    <t>deg/s</t>
  </si>
  <si>
    <t>S2 waves</t>
  </si>
  <si>
    <t>RMS heading error</t>
  </si>
  <si>
    <t>deg</t>
  </si>
  <si>
    <t>Note: 'MPC fixed' is taken from the post-lag run; the fixed-weight controller is unaffected by the change, so the two runs agree to within seed noise.</t>
  </si>
  <si>
    <t>Scheduled weight actually used (x the fixed value)</t>
  </si>
  <si>
    <t>before lag / after lag</t>
  </si>
  <si>
    <t>Findings</t>
  </si>
  <si>
    <t>1. In waves the scheduler is a large win over fixed-weight MPC: rudder rate down ~46%, and heading error better too.</t>
  </si>
  <si>
    <t>2. Before the lag it also hurt in calm water (IAE 958 vs 818 for fixed MPC) because the weight moved DURING a manoeuvre:</t>
  </si>
  <si>
    <t xml:space="preserve">   cheap rudder moves at the start of a turn, expensive ones during the settle - backwards for a step response.</t>
  </si>
  <si>
    <t>3. MPC@avg (fixed weight set to the scheduler's own average) matched or beat the scheduler everywhere before the lag.</t>
  </si>
  <si>
    <t xml:space="preserve">   That showed the benefit came from WHICH average weight suits the conditions, not from the weight moving within a run.</t>
  </si>
  <si>
    <t>4. After the 20 s lag the scheduler lands within ~4% of MPC@avg without hindsight: 0.92x in calm water, 2.49x in waves.</t>
  </si>
  <si>
    <t xml:space="preserve">   One controller, one tuning, correct in both conditions - which is the claim a fixed weight cannot make.</t>
  </si>
  <si>
    <t>Code changes behind the 'after lag' column</t>
  </si>
  <si>
    <t>a. The scheduled weight passes through a 20 s first-order lag in log space (MP.tauW).</t>
  </si>
  <si>
    <t>b. checkRuleTable takes a wantSym flag; the wave table is checked with it off, since both its axes are magnitudes.</t>
  </si>
  <si>
    <t xml:space="preserve">   This removes the spurious 'wave rule table is not point-symmetric' warning.</t>
  </si>
  <si>
    <t>Still open</t>
  </si>
  <si>
    <t>c. S3 ringing after the speed change is prediction-model mismatch (plant moves to K x1.37, T x0.64), not a weight problem.</t>
  </si>
  <si>
    <t xml:space="preserve">   Fix is to schedule the MPC's prediction model on engine speed using P.hi.</t>
  </si>
  <si>
    <t>d. Re-run the full multi-seed set in MATLAB before quoting the post-lag numbers; S1 and S2 above are single-seed.</t>
  </si>
  <si>
    <t>Controller comparison - BEFORE the scheduled-weight lag</t>
  </si>
  <si>
    <t>Source: user's MATLAB command window run. Blue cells are measured simulation outputs; black cells are formulas.</t>
  </si>
  <si>
    <t>S1 Course changes, calm water  (1 seed(s))</t>
  </si>
  <si>
    <t>PID mean</t>
  </si>
  <si>
    <t>Fuzzy-PID mean</t>
  </si>
  <si>
    <t>MPC mean</t>
  </si>
  <si>
    <t>Fuzzy-MPC mean</t>
  </si>
  <si>
    <t>MPC@avg mean</t>
  </si>
  <si>
    <t>PID sd</t>
  </si>
  <si>
    <t>Fuzzy-PID sd</t>
  </si>
  <si>
    <t>MPC sd</t>
  </si>
  <si>
    <t>Fuzzy-MPC sd</t>
  </si>
  <si>
    <t>MPC@avg sd</t>
  </si>
  <si>
    <t>Fuzzy-MPC vs MPC</t>
  </si>
  <si>
    <t>Fuzzy-MPC vs MPC@avg</t>
  </si>
  <si>
    <t>RMS rudder angle</t>
  </si>
  <si>
    <t>Rudder reversals</t>
  </si>
  <si>
    <t>1/min</t>
  </si>
  <si>
    <t>Motor effort int(u^2)</t>
  </si>
  <si>
    <t>duty^2*s</t>
  </si>
  <si>
    <t>Fuzzy-MPC average move-suppression weight</t>
  </si>
  <si>
    <t>x fixed</t>
  </si>
  <si>
    <t>Step response</t>
  </si>
  <si>
    <t>Step</t>
  </si>
  <si>
    <t>PID overshoot %</t>
  </si>
  <si>
    <t>Fuzzy-PID overshoot %</t>
  </si>
  <si>
    <t>MPC overshoot %</t>
  </si>
  <si>
    <t>Fuzzy-MPC overshoot %</t>
  </si>
  <si>
    <t>MPC@avg overshoot %</t>
  </si>
  <si>
    <t>PID settling s</t>
  </si>
  <si>
    <t>Fuzzy-PID settling s</t>
  </si>
  <si>
    <t>MPC settling s</t>
  </si>
  <si>
    <t>Fuzzy-MPC settling s</t>
  </si>
  <si>
    <t>MPC@avg settling s</t>
  </si>
  <si>
    <t>Step 1 (+30 deg @ 5 s)</t>
  </si>
  <si>
    <t>Step 2 (-30 deg @ 65 s)</t>
  </si>
  <si>
    <t>Step 3 (-30 deg @ 125 s)</t>
  </si>
  <si>
    <t>S2 Course keeping in waves + wind/current step  (5 seed(s))</t>
  </si>
  <si>
    <t>S3 Speed increase (design -&gt; high speed), calm water  (3 seed(s))</t>
  </si>
  <si>
    <t>Step 1 (+30 deg @ 10 s)</t>
  </si>
  <si>
    <t>Step 2 (-30 deg @ 110 s)</t>
  </si>
  <si>
    <t>Controller comparison - AFTER the 20 s scheduled-weight lag</t>
  </si>
  <si>
    <t>Source: quick single-seed verification run (Octave). Not multi-seed: re-run in MATLAB with all seeds before quoting these.</t>
  </si>
  <si>
    <t>S1 Course changes, calm water  (1 seed)</t>
  </si>
  <si>
    <t>PID</t>
  </si>
  <si>
    <t>Fuzzy-PID</t>
  </si>
  <si>
    <t>MPC</t>
  </si>
  <si>
    <t>Fuzzy-MPC</t>
  </si>
  <si>
    <t>MPC@avg</t>
  </si>
  <si>
    <t>Wave-activity estimate (mean)</t>
  </si>
  <si>
    <t>S2 Course keeping in waves + wind/current step  (1 seed)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</si>
</sst>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3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0" fontId="6" fillId="0" borderId="0" xfId="0" applyFont="1"/>
    <xf numFmtId="0" fontId="4" fillId="0" borderId="0" xfId="0" applyFont="1"/>
    <xf numFmtId="2" fontId="5" fillId="0" borderId="0" xfId="0" applyNumberFormat="1" applyFont="1"/>
    <xf numFmtId="0" fontId="7" fillId="0" borderId="0" xfId="0" applyFont="1"/>
    <xf numFmtId="0" fontId="6" fillId="3" borderId="0" xfId="0" applyFont="1" applyFill="1"/>
    <xf numFmtId="0" fontId="0" fillId="3" borderId="0" xfId="0" applyFill="1"/>
    <xf numFmtId="164" fontId="8" fillId="0" borderId="1" xfId="0" applyNumberFormat="1" applyFont="1" applyBorder="1"/>
    <xf numFmtId="2" fontId="8" fillId="0" borderId="0" xfId="0" applyNumberFormat="1" applyFont="1"/>
    <xf numFmtId="166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Normal="100" workbookViewId="0">
      <selection activeCell="E5" sqref="E5"/>
    </sheetView>
  </sheetViews>
  <sheetFormatPr defaultColWidth="8.7109375" defaultRowHeight="15" x14ac:dyDescent="0.25"/>
  <cols>
    <col min="1" max="1" width="30" customWidth="1"/>
    <col min="2" max="2" width="26" customWidth="1"/>
    <col min="3" max="3" width="9" customWidth="1"/>
    <col min="4" max="8" width="16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 t="s">
        <v>11</v>
      </c>
      <c r="C5" s="4" t="s">
        <v>12</v>
      </c>
      <c r="D5" s="5">
        <f>Results_post_lag!E6</f>
        <v>814.16399999999999</v>
      </c>
      <c r="E5" s="5">
        <f>Results_pre_lag!F6</f>
        <v>958.12</v>
      </c>
      <c r="F5" s="5">
        <f>Results_post_lag!F6</f>
        <v>817.00300000000004</v>
      </c>
      <c r="G5" s="6">
        <f>IFERROR((F5-D5)/D5,"")</f>
        <v>3.487012444667236E-3</v>
      </c>
      <c r="H5" s="6">
        <f>IFERROR((E5-D5)/D5,"")</f>
        <v>0.17681449929006934</v>
      </c>
    </row>
    <row r="6" spans="1:8" x14ac:dyDescent="0.25">
      <c r="A6" s="4" t="s">
        <v>10</v>
      </c>
      <c r="B6" s="4" t="s">
        <v>13</v>
      </c>
      <c r="C6" s="4" t="s">
        <v>14</v>
      </c>
      <c r="D6" s="5">
        <f>Results_post_lag!E8</f>
        <v>2.2149999999999999</v>
      </c>
      <c r="E6" s="5">
        <f>Results_pre_lag!F9</f>
        <v>2.5070000000000001</v>
      </c>
      <c r="F6" s="5">
        <f>Results_post_lag!F8</f>
        <v>2.3879999999999999</v>
      </c>
      <c r="G6" s="6">
        <f>IFERROR((F6-D6)/D6,"")</f>
        <v>7.8103837471783316E-2</v>
      </c>
      <c r="H6" s="6">
        <f>IFERROR((E6-D6)/D6,"")</f>
        <v>0.13182844243792338</v>
      </c>
    </row>
    <row r="7" spans="1:8" x14ac:dyDescent="0.25">
      <c r="A7" s="4" t="s">
        <v>15</v>
      </c>
      <c r="B7" s="4" t="s">
        <v>11</v>
      </c>
      <c r="C7" s="4" t="s">
        <v>12</v>
      </c>
      <c r="D7" s="5">
        <f>Results_post_lag!E18</f>
        <v>313.79399999999998</v>
      </c>
      <c r="E7" s="5">
        <f>Results_pre_lag!F23</f>
        <v>266.50900000000001</v>
      </c>
      <c r="F7" s="5">
        <f>Results_post_lag!F18</f>
        <v>286.101</v>
      </c>
      <c r="G7" s="6">
        <f>IFERROR((F7-D7)/D7,"")</f>
        <v>-8.8252165433373442E-2</v>
      </c>
      <c r="H7" s="6">
        <f>IFERROR((E7-D7)/D7,"")</f>
        <v>-0.15068803100123002</v>
      </c>
    </row>
    <row r="8" spans="1:8" x14ac:dyDescent="0.25">
      <c r="A8" s="4" t="s">
        <v>15</v>
      </c>
      <c r="B8" s="4" t="s">
        <v>16</v>
      </c>
      <c r="C8" s="4" t="s">
        <v>17</v>
      </c>
      <c r="D8" s="5">
        <f>Results_post_lag!E19</f>
        <v>2.149</v>
      </c>
      <c r="E8" s="5">
        <f>Results_pre_lag!F24</f>
        <v>1.82</v>
      </c>
      <c r="F8" s="5">
        <f>Results_post_lag!F19</f>
        <v>1.9630000000000001</v>
      </c>
      <c r="G8" s="6">
        <f>IFERROR((F8-D8)/D8,"")</f>
        <v>-8.655188459748718E-2</v>
      </c>
      <c r="H8" s="6">
        <f>IFERROR((E8-D8)/D8,"")</f>
        <v>-0.1530944625407166</v>
      </c>
    </row>
    <row r="9" spans="1:8" x14ac:dyDescent="0.25">
      <c r="A9" s="4" t="s">
        <v>15</v>
      </c>
      <c r="B9" s="4" t="s">
        <v>13</v>
      </c>
      <c r="C9" s="4" t="s">
        <v>14</v>
      </c>
      <c r="D9" s="5">
        <f>Results_post_lag!E20</f>
        <v>5.3250000000000002</v>
      </c>
      <c r="E9" s="5">
        <f>Results_pre_lag!F26</f>
        <v>2.8530000000000002</v>
      </c>
      <c r="F9" s="5">
        <f>Results_post_lag!F20</f>
        <v>2.903</v>
      </c>
      <c r="G9" s="6">
        <f>IFERROR((F9-D9)/D9,"")</f>
        <v>-0.4548356807511737</v>
      </c>
      <c r="H9" s="6">
        <f>IFERROR((E9-D9)/D9,"")</f>
        <v>-0.46422535211267602</v>
      </c>
    </row>
    <row r="10" spans="1:8" x14ac:dyDescent="0.25">
      <c r="A10" s="2" t="s">
        <v>18</v>
      </c>
    </row>
    <row r="12" spans="1:8" x14ac:dyDescent="0.25">
      <c r="A12" s="7" t="s">
        <v>19</v>
      </c>
    </row>
    <row r="13" spans="1:8" x14ac:dyDescent="0.25">
      <c r="A13" s="8" t="s">
        <v>10</v>
      </c>
      <c r="B13" s="2" t="s">
        <v>20</v>
      </c>
      <c r="D13" s="9">
        <f>Results_pre_lag!F12</f>
        <v>1.18</v>
      </c>
      <c r="E13" s="9">
        <f>Results_post_lag!F9</f>
        <v>0.92</v>
      </c>
    </row>
    <row r="14" spans="1:8" x14ac:dyDescent="0.25">
      <c r="A14" s="8" t="s">
        <v>15</v>
      </c>
      <c r="D14" s="9">
        <f>Results_pre_lag!F29</f>
        <v>2.2799999999999998</v>
      </c>
      <c r="E14" s="9">
        <f>Results_post_lag!F21</f>
        <v>2.4900000000000002</v>
      </c>
    </row>
    <row r="17" spans="1:1" x14ac:dyDescent="0.25">
      <c r="A17" s="7" t="s">
        <v>21</v>
      </c>
    </row>
    <row r="18" spans="1:1" x14ac:dyDescent="0.25">
      <c r="A18" s="8" t="s">
        <v>22</v>
      </c>
    </row>
    <row r="19" spans="1:1" x14ac:dyDescent="0.25">
      <c r="A19" s="8" t="s">
        <v>23</v>
      </c>
    </row>
    <row r="20" spans="1:1" x14ac:dyDescent="0.25">
      <c r="A20" s="8" t="s">
        <v>24</v>
      </c>
    </row>
    <row r="21" spans="1:1" x14ac:dyDescent="0.25">
      <c r="A21" s="8" t="s">
        <v>25</v>
      </c>
    </row>
    <row r="22" spans="1:1" x14ac:dyDescent="0.25">
      <c r="A22" s="8" t="s">
        <v>26</v>
      </c>
    </row>
    <row r="23" spans="1:1" x14ac:dyDescent="0.25">
      <c r="A23" s="8" t="s">
        <v>27</v>
      </c>
    </row>
    <row r="24" spans="1:1" x14ac:dyDescent="0.25">
      <c r="A24" s="8" t="s">
        <v>28</v>
      </c>
    </row>
    <row r="25" spans="1:1" x14ac:dyDescent="0.25">
      <c r="A25" s="8"/>
    </row>
    <row r="26" spans="1:1" x14ac:dyDescent="0.25">
      <c r="A26" s="7" t="s">
        <v>29</v>
      </c>
    </row>
    <row r="27" spans="1:1" x14ac:dyDescent="0.25">
      <c r="A27" s="8" t="s">
        <v>30</v>
      </c>
    </row>
    <row r="28" spans="1:1" x14ac:dyDescent="0.25">
      <c r="A28" s="8" t="s">
        <v>31</v>
      </c>
    </row>
    <row r="29" spans="1:1" x14ac:dyDescent="0.25">
      <c r="A29" s="8" t="s">
        <v>32</v>
      </c>
    </row>
    <row r="30" spans="1:1" x14ac:dyDescent="0.25">
      <c r="A30" s="8"/>
    </row>
    <row r="31" spans="1:1" x14ac:dyDescent="0.25">
      <c r="A31" s="7" t="s">
        <v>33</v>
      </c>
    </row>
    <row r="32" spans="1:1" x14ac:dyDescent="0.25">
      <c r="A32" s="8" t="s">
        <v>34</v>
      </c>
    </row>
    <row r="33" spans="1:1" x14ac:dyDescent="0.25">
      <c r="A33" s="8" t="s">
        <v>35</v>
      </c>
    </row>
    <row r="34" spans="1:1" x14ac:dyDescent="0.25">
      <c r="A34" s="8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4" customWidth="1"/>
    <col min="2" max="2" width="11" customWidth="1"/>
    <col min="3" max="14" width="13" customWidth="1"/>
  </cols>
  <sheetData>
    <row r="1" spans="1:14" ht="16.5" x14ac:dyDescent="0.25">
      <c r="A1" s="10" t="s">
        <v>37</v>
      </c>
    </row>
    <row r="2" spans="1:14" x14ac:dyDescent="0.25">
      <c r="A2" s="2" t="s">
        <v>38</v>
      </c>
    </row>
    <row r="4" spans="1:14" x14ac:dyDescent="0.25">
      <c r="A4" s="11" t="s">
        <v>39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45" x14ac:dyDescent="0.25">
      <c r="A5" s="3" t="s">
        <v>3</v>
      </c>
      <c r="B5" s="3" t="s">
        <v>4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51</v>
      </c>
    </row>
    <row r="6" spans="1:14" x14ac:dyDescent="0.25">
      <c r="A6" s="4" t="s">
        <v>11</v>
      </c>
      <c r="B6" s="4" t="s">
        <v>12</v>
      </c>
      <c r="C6" s="13">
        <v>536.41800000000001</v>
      </c>
      <c r="D6" s="13">
        <v>484.4</v>
      </c>
      <c r="E6" s="13">
        <v>817.91899999999998</v>
      </c>
      <c r="F6" s="13">
        <v>958.12</v>
      </c>
      <c r="G6" s="13">
        <v>844.05200000000002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6">
        <f t="shared" ref="M6:M11" si="0">IFERROR((F6-E6)/E6,"")</f>
        <v>0.17141183906963894</v>
      </c>
      <c r="N6" s="6">
        <f t="shared" ref="N6:N11" si="1">IFERROR((F6-G6)/G6,"")</f>
        <v>0.13514333240132123</v>
      </c>
    </row>
    <row r="7" spans="1:14" x14ac:dyDescent="0.25">
      <c r="A7" s="4" t="s">
        <v>16</v>
      </c>
      <c r="B7" s="4" t="s">
        <v>17</v>
      </c>
      <c r="C7" s="13">
        <v>6.4809999999999999</v>
      </c>
      <c r="D7" s="13">
        <v>6.5819999999999999</v>
      </c>
      <c r="E7" s="13">
        <v>7.1520000000000001</v>
      </c>
      <c r="F7" s="13">
        <v>7.907</v>
      </c>
      <c r="G7" s="13">
        <v>7.234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6">
        <f t="shared" si="0"/>
        <v>0.10556487695749439</v>
      </c>
      <c r="N7" s="6">
        <f t="shared" si="1"/>
        <v>9.3032900193530554E-2</v>
      </c>
    </row>
    <row r="8" spans="1:14" x14ac:dyDescent="0.25">
      <c r="A8" s="4" t="s">
        <v>52</v>
      </c>
      <c r="B8" s="4" t="s">
        <v>17</v>
      </c>
      <c r="C8" s="13">
        <v>5.7370000000000001</v>
      </c>
      <c r="D8" s="13">
        <v>5.3639999999999999</v>
      </c>
      <c r="E8" s="13">
        <v>7.875</v>
      </c>
      <c r="F8" s="13">
        <v>8.8800000000000008</v>
      </c>
      <c r="G8" s="13">
        <v>7.6369999999999996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6">
        <f t="shared" si="0"/>
        <v>0.12761904761904772</v>
      </c>
      <c r="N8" s="6">
        <f t="shared" si="1"/>
        <v>0.16276024616996221</v>
      </c>
    </row>
    <row r="9" spans="1:14" x14ac:dyDescent="0.25">
      <c r="A9" s="4" t="s">
        <v>13</v>
      </c>
      <c r="B9" s="4" t="s">
        <v>14</v>
      </c>
      <c r="C9" s="13">
        <v>1.464</v>
      </c>
      <c r="D9" s="13">
        <v>1.788</v>
      </c>
      <c r="E9" s="13">
        <v>2.246</v>
      </c>
      <c r="F9" s="13">
        <v>2.5070000000000001</v>
      </c>
      <c r="G9" s="13">
        <v>2.0659999999999998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6">
        <f t="shared" si="0"/>
        <v>0.11620658949243104</v>
      </c>
      <c r="N9" s="6">
        <f t="shared" si="1"/>
        <v>0.21345595353339802</v>
      </c>
    </row>
    <row r="10" spans="1:14" x14ac:dyDescent="0.25">
      <c r="A10" s="4" t="s">
        <v>53</v>
      </c>
      <c r="B10" s="4" t="s">
        <v>54</v>
      </c>
      <c r="C10" s="13">
        <v>21.73</v>
      </c>
      <c r="D10" s="13">
        <v>25.622</v>
      </c>
      <c r="E10" s="13">
        <v>13.946</v>
      </c>
      <c r="F10" s="13">
        <v>13.622</v>
      </c>
      <c r="G10" s="13">
        <v>13.297000000000001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6">
        <f t="shared" si="0"/>
        <v>-2.3232468091208939E-2</v>
      </c>
      <c r="N10" s="6">
        <f t="shared" si="1"/>
        <v>2.4441603369180963E-2</v>
      </c>
    </row>
    <row r="11" spans="1:14" x14ac:dyDescent="0.25">
      <c r="A11" s="4" t="s">
        <v>55</v>
      </c>
      <c r="B11" s="4" t="s">
        <v>56</v>
      </c>
      <c r="C11" s="13">
        <v>3.8069999999999999</v>
      </c>
      <c r="D11" s="13">
        <v>4.5659999999999998</v>
      </c>
      <c r="E11" s="13">
        <v>3.5070000000000001</v>
      </c>
      <c r="F11" s="13">
        <v>4.0380000000000003</v>
      </c>
      <c r="G11" s="13">
        <v>3.2189999999999999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6">
        <f t="shared" si="0"/>
        <v>0.15141146278870835</v>
      </c>
      <c r="N11" s="6">
        <f t="shared" si="1"/>
        <v>0.25442684063373733</v>
      </c>
    </row>
    <row r="12" spans="1:14" x14ac:dyDescent="0.25">
      <c r="A12" s="8" t="s">
        <v>57</v>
      </c>
      <c r="B12" s="8" t="s">
        <v>58</v>
      </c>
      <c r="F12" s="14">
        <v>1.18</v>
      </c>
    </row>
    <row r="14" spans="1:14" x14ac:dyDescent="0.25">
      <c r="A14" s="7" t="s">
        <v>59</v>
      </c>
    </row>
    <row r="15" spans="1:14" ht="45" x14ac:dyDescent="0.25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65</v>
      </c>
      <c r="G15" s="3" t="s">
        <v>66</v>
      </c>
      <c r="H15" s="3" t="s">
        <v>67</v>
      </c>
      <c r="I15" s="3" t="s">
        <v>68</v>
      </c>
      <c r="J15" s="3" t="s">
        <v>69</v>
      </c>
      <c r="K15" s="3" t="s">
        <v>70</v>
      </c>
    </row>
    <row r="16" spans="1:14" x14ac:dyDescent="0.25">
      <c r="A16" s="8" t="s">
        <v>71</v>
      </c>
      <c r="B16" s="15">
        <v>12.5</v>
      </c>
      <c r="C16" s="15">
        <v>8.8000000000000007</v>
      </c>
      <c r="D16" s="15">
        <v>4.5999999999999996</v>
      </c>
      <c r="E16" s="15">
        <v>9.6999999999999993</v>
      </c>
      <c r="F16" s="15">
        <v>4</v>
      </c>
      <c r="G16" s="15">
        <v>23.9</v>
      </c>
      <c r="H16" s="15">
        <v>17.399999999999999</v>
      </c>
      <c r="I16" s="15">
        <v>44.7</v>
      </c>
      <c r="J16" s="15">
        <v>40.299999999999997</v>
      </c>
      <c r="K16" s="15">
        <v>45.6</v>
      </c>
    </row>
    <row r="17" spans="1:14" x14ac:dyDescent="0.25">
      <c r="A17" s="8" t="s">
        <v>72</v>
      </c>
      <c r="B17" s="15">
        <v>11.1</v>
      </c>
      <c r="C17" s="15">
        <v>8.3000000000000007</v>
      </c>
      <c r="D17" s="15">
        <v>7.5</v>
      </c>
      <c r="E17" s="15">
        <v>11.3</v>
      </c>
      <c r="F17" s="15">
        <v>7</v>
      </c>
      <c r="G17" s="15">
        <v>22.4</v>
      </c>
      <c r="H17" s="15">
        <v>17.7</v>
      </c>
      <c r="I17" s="15">
        <v>43.5</v>
      </c>
      <c r="J17" s="15">
        <v>38.1</v>
      </c>
      <c r="K17" s="15">
        <v>40</v>
      </c>
    </row>
    <row r="18" spans="1:14" x14ac:dyDescent="0.25">
      <c r="A18" s="8" t="s">
        <v>73</v>
      </c>
      <c r="B18" s="15">
        <v>11.9</v>
      </c>
      <c r="C18" s="15">
        <v>8.5</v>
      </c>
      <c r="D18" s="15">
        <v>1.8</v>
      </c>
      <c r="E18" s="15">
        <v>7.5</v>
      </c>
      <c r="F18" s="15">
        <v>1.4</v>
      </c>
      <c r="G18" s="15">
        <v>22.2</v>
      </c>
      <c r="H18" s="15">
        <v>18.5</v>
      </c>
      <c r="I18" s="15">
        <v>45.6</v>
      </c>
      <c r="J18" s="15">
        <v>43.9</v>
      </c>
      <c r="K18" s="15">
        <v>47.3</v>
      </c>
    </row>
    <row r="21" spans="1:14" x14ac:dyDescent="0.25">
      <c r="A21" s="11" t="s">
        <v>74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45" x14ac:dyDescent="0.25">
      <c r="A22" s="3" t="s">
        <v>3</v>
      </c>
      <c r="B22" s="3" t="s">
        <v>4</v>
      </c>
      <c r="C22" s="3" t="s">
        <v>40</v>
      </c>
      <c r="D22" s="3" t="s">
        <v>41</v>
      </c>
      <c r="E22" s="3" t="s">
        <v>42</v>
      </c>
      <c r="F22" s="3" t="s">
        <v>43</v>
      </c>
      <c r="G22" s="3" t="s">
        <v>44</v>
      </c>
      <c r="H22" s="3" t="s">
        <v>45</v>
      </c>
      <c r="I22" s="3" t="s">
        <v>46</v>
      </c>
      <c r="J22" s="3" t="s">
        <v>47</v>
      </c>
      <c r="K22" s="3" t="s">
        <v>48</v>
      </c>
      <c r="L22" s="3" t="s">
        <v>49</v>
      </c>
      <c r="M22" s="3" t="s">
        <v>50</v>
      </c>
      <c r="N22" s="3" t="s">
        <v>51</v>
      </c>
    </row>
    <row r="23" spans="1:14" x14ac:dyDescent="0.25">
      <c r="A23" s="4" t="s">
        <v>11</v>
      </c>
      <c r="B23" s="4" t="s">
        <v>12</v>
      </c>
      <c r="C23" s="13">
        <v>258.959</v>
      </c>
      <c r="D23" s="13">
        <v>259.30799999999999</v>
      </c>
      <c r="E23" s="13">
        <v>291.02800000000002</v>
      </c>
      <c r="F23" s="13">
        <v>266.50900000000001</v>
      </c>
      <c r="G23" s="13">
        <v>260.84500000000003</v>
      </c>
      <c r="H23" s="13">
        <v>17.059999999999999</v>
      </c>
      <c r="I23" s="13">
        <v>17.574999999999999</v>
      </c>
      <c r="J23" s="13">
        <v>20.664000000000001</v>
      </c>
      <c r="K23" s="13">
        <v>20.791</v>
      </c>
      <c r="L23" s="13">
        <v>19.102</v>
      </c>
      <c r="M23" s="6">
        <f t="shared" ref="M23:M28" si="2">IFERROR((F23-E23)/E23,"")</f>
        <v>-8.4249625465590949E-2</v>
      </c>
      <c r="N23" s="6">
        <f t="shared" ref="N23:N28" si="3">IFERROR((F23-G23)/G23,"")</f>
        <v>2.1714044739212891E-2</v>
      </c>
    </row>
    <row r="24" spans="1:14" x14ac:dyDescent="0.25">
      <c r="A24" s="4" t="s">
        <v>16</v>
      </c>
      <c r="B24" s="4" t="s">
        <v>17</v>
      </c>
      <c r="C24" s="13">
        <v>1.7629999999999999</v>
      </c>
      <c r="D24" s="13">
        <v>1.7709999999999999</v>
      </c>
      <c r="E24" s="13">
        <v>1.9730000000000001</v>
      </c>
      <c r="F24" s="13">
        <v>1.82</v>
      </c>
      <c r="G24" s="13">
        <v>1.7789999999999999</v>
      </c>
      <c r="H24" s="13">
        <v>0.109</v>
      </c>
      <c r="I24" s="13">
        <v>0.113</v>
      </c>
      <c r="J24" s="13">
        <v>0.13</v>
      </c>
      <c r="K24" s="13">
        <v>0.11799999999999999</v>
      </c>
      <c r="L24" s="13">
        <v>0.114</v>
      </c>
      <c r="M24" s="6">
        <f t="shared" si="2"/>
        <v>-7.7546882919412072E-2</v>
      </c>
      <c r="N24" s="6">
        <f t="shared" si="3"/>
        <v>2.3046655424395813E-2</v>
      </c>
    </row>
    <row r="25" spans="1:14" x14ac:dyDescent="0.25">
      <c r="A25" s="4" t="s">
        <v>52</v>
      </c>
      <c r="B25" s="4" t="s">
        <v>17</v>
      </c>
      <c r="C25" s="13">
        <v>8.6669999999999998</v>
      </c>
      <c r="D25" s="13">
        <v>8.3239999999999998</v>
      </c>
      <c r="E25" s="13">
        <v>5.8639999999999999</v>
      </c>
      <c r="F25" s="13">
        <v>4.4139999999999997</v>
      </c>
      <c r="G25" s="13">
        <v>4.2699999999999996</v>
      </c>
      <c r="H25" s="13">
        <v>0.436</v>
      </c>
      <c r="I25" s="13">
        <v>0.372</v>
      </c>
      <c r="J25" s="13">
        <v>0.185</v>
      </c>
      <c r="K25" s="13">
        <v>4.5999999999999999E-2</v>
      </c>
      <c r="L25" s="13">
        <v>7.1999999999999995E-2</v>
      </c>
      <c r="M25" s="6">
        <f t="shared" si="2"/>
        <v>-0.24727148703956348</v>
      </c>
      <c r="N25" s="6">
        <f t="shared" si="3"/>
        <v>3.3723653395784578E-2</v>
      </c>
    </row>
    <row r="26" spans="1:14" x14ac:dyDescent="0.25">
      <c r="A26" s="4" t="s">
        <v>13</v>
      </c>
      <c r="B26" s="4" t="s">
        <v>14</v>
      </c>
      <c r="C26" s="13">
        <v>8.6549999999999994</v>
      </c>
      <c r="D26" s="13">
        <v>8.1280000000000001</v>
      </c>
      <c r="E26" s="13">
        <v>4.984</v>
      </c>
      <c r="F26" s="13">
        <v>2.8530000000000002</v>
      </c>
      <c r="G26" s="13">
        <v>2.7509999999999999</v>
      </c>
      <c r="H26" s="13">
        <v>0.37</v>
      </c>
      <c r="I26" s="13">
        <v>0.26900000000000002</v>
      </c>
      <c r="J26" s="13">
        <v>0.245</v>
      </c>
      <c r="K26" s="13">
        <v>7.0000000000000007E-2</v>
      </c>
      <c r="L26" s="13">
        <v>6.2E-2</v>
      </c>
      <c r="M26" s="6">
        <f t="shared" si="2"/>
        <v>-0.42756821829855535</v>
      </c>
      <c r="N26" s="6">
        <f t="shared" si="3"/>
        <v>3.7077426390403602E-2</v>
      </c>
    </row>
    <row r="27" spans="1:14" x14ac:dyDescent="0.25">
      <c r="A27" s="4" t="s">
        <v>53</v>
      </c>
      <c r="B27" s="4" t="s">
        <v>54</v>
      </c>
      <c r="C27" s="13">
        <v>26.8</v>
      </c>
      <c r="D27" s="13">
        <v>26.6</v>
      </c>
      <c r="E27" s="13">
        <v>23.332999999999998</v>
      </c>
      <c r="F27" s="13">
        <v>22.933</v>
      </c>
      <c r="G27" s="13">
        <v>23.2</v>
      </c>
      <c r="H27" s="13">
        <v>1.538</v>
      </c>
      <c r="I27" s="13">
        <v>1.4410000000000001</v>
      </c>
      <c r="J27" s="13">
        <v>0.66700000000000004</v>
      </c>
      <c r="K27" s="13">
        <v>0.68300000000000005</v>
      </c>
      <c r="L27" s="13">
        <v>0.65</v>
      </c>
      <c r="M27" s="6">
        <f t="shared" si="2"/>
        <v>-1.7143102044314858E-2</v>
      </c>
      <c r="N27" s="6">
        <f t="shared" si="3"/>
        <v>-1.150862068965515E-2</v>
      </c>
    </row>
    <row r="28" spans="1:14" x14ac:dyDescent="0.25">
      <c r="A28" s="4" t="s">
        <v>55</v>
      </c>
      <c r="B28" s="4" t="s">
        <v>56</v>
      </c>
      <c r="C28" s="13">
        <v>11.384</v>
      </c>
      <c r="D28" s="13">
        <v>10.784000000000001</v>
      </c>
      <c r="E28" s="13">
        <v>5.5949999999999998</v>
      </c>
      <c r="F28" s="13">
        <v>3.4470000000000001</v>
      </c>
      <c r="G28" s="13">
        <v>3.3330000000000002</v>
      </c>
      <c r="H28" s="13">
        <v>0.64</v>
      </c>
      <c r="I28" s="13">
        <v>0.502</v>
      </c>
      <c r="J28" s="13">
        <v>0.23599999999999999</v>
      </c>
      <c r="K28" s="13">
        <v>7.4999999999999997E-2</v>
      </c>
      <c r="L28" s="13">
        <v>6.4000000000000001E-2</v>
      </c>
      <c r="M28" s="6">
        <f t="shared" si="2"/>
        <v>-0.38391420911528146</v>
      </c>
      <c r="N28" s="6">
        <f t="shared" si="3"/>
        <v>3.4203420342034163E-2</v>
      </c>
    </row>
    <row r="29" spans="1:14" x14ac:dyDescent="0.25">
      <c r="A29" s="8" t="s">
        <v>57</v>
      </c>
      <c r="B29" s="8" t="s">
        <v>58</v>
      </c>
      <c r="F29" s="14">
        <v>2.2799999999999998</v>
      </c>
    </row>
    <row r="32" spans="1:14" x14ac:dyDescent="0.25">
      <c r="A32" s="11" t="s">
        <v>75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45" x14ac:dyDescent="0.25">
      <c r="A33" s="3" t="s">
        <v>3</v>
      </c>
      <c r="B33" s="3" t="s">
        <v>4</v>
      </c>
      <c r="C33" s="3" t="s">
        <v>40</v>
      </c>
      <c r="D33" s="3" t="s">
        <v>41</v>
      </c>
      <c r="E33" s="3" t="s">
        <v>42</v>
      </c>
      <c r="F33" s="3" t="s">
        <v>43</v>
      </c>
      <c r="G33" s="3" t="s">
        <v>44</v>
      </c>
      <c r="H33" s="3" t="s">
        <v>45</v>
      </c>
      <c r="I33" s="3" t="s">
        <v>46</v>
      </c>
      <c r="J33" s="3" t="s">
        <v>47</v>
      </c>
      <c r="K33" s="3" t="s">
        <v>48</v>
      </c>
      <c r="L33" s="3" t="s">
        <v>49</v>
      </c>
      <c r="M33" s="3" t="s">
        <v>50</v>
      </c>
      <c r="N33" s="3" t="s">
        <v>51</v>
      </c>
    </row>
    <row r="34" spans="1:14" x14ac:dyDescent="0.25">
      <c r="A34" s="4" t="s">
        <v>11</v>
      </c>
      <c r="B34" s="4" t="s">
        <v>12</v>
      </c>
      <c r="C34" s="13">
        <v>344.43799999999999</v>
      </c>
      <c r="D34" s="13">
        <v>316.39499999999998</v>
      </c>
      <c r="E34" s="13">
        <v>633.20000000000005</v>
      </c>
      <c r="F34" s="13">
        <v>727.23</v>
      </c>
      <c r="G34" s="13">
        <v>665.09699999999998</v>
      </c>
      <c r="H34" s="13">
        <v>1.47</v>
      </c>
      <c r="I34" s="13">
        <v>2.008</v>
      </c>
      <c r="J34" s="13">
        <v>6.593</v>
      </c>
      <c r="K34" s="13">
        <v>7.8460000000000001</v>
      </c>
      <c r="L34" s="13">
        <v>6.04</v>
      </c>
      <c r="M34" s="6">
        <f t="shared" ref="M34:M39" si="4">IFERROR((F34-E34)/E34,"")</f>
        <v>0.14849968414403028</v>
      </c>
      <c r="N34" s="6">
        <f t="shared" ref="N34:N39" si="5">IFERROR((F34-G34)/G34,"")</f>
        <v>9.341945610940966E-2</v>
      </c>
    </row>
    <row r="35" spans="1:14" x14ac:dyDescent="0.25">
      <c r="A35" s="4" t="s">
        <v>16</v>
      </c>
      <c r="B35" s="4" t="s">
        <v>17</v>
      </c>
      <c r="C35" s="13">
        <v>5.125</v>
      </c>
      <c r="D35" s="13">
        <v>5.242</v>
      </c>
      <c r="E35" s="13">
        <v>6.0430000000000001</v>
      </c>
      <c r="F35" s="13">
        <v>6.6609999999999996</v>
      </c>
      <c r="G35" s="13">
        <v>6.1959999999999997</v>
      </c>
      <c r="H35" s="13">
        <v>2.5999999999999999E-2</v>
      </c>
      <c r="I35" s="13">
        <v>2.8000000000000001E-2</v>
      </c>
      <c r="J35" s="13">
        <v>7.2999999999999995E-2</v>
      </c>
      <c r="K35" s="13">
        <v>4.1000000000000002E-2</v>
      </c>
      <c r="L35" s="13">
        <v>5.8000000000000003E-2</v>
      </c>
      <c r="M35" s="6">
        <f t="shared" si="4"/>
        <v>0.10226708588449436</v>
      </c>
      <c r="N35" s="6">
        <f t="shared" si="5"/>
        <v>7.504841833440927E-2</v>
      </c>
    </row>
    <row r="36" spans="1:14" x14ac:dyDescent="0.25">
      <c r="A36" s="4" t="s">
        <v>52</v>
      </c>
      <c r="B36" s="4" t="s">
        <v>17</v>
      </c>
      <c r="C36" s="13">
        <v>4.46</v>
      </c>
      <c r="D36" s="13">
        <v>4.2759999999999998</v>
      </c>
      <c r="E36" s="13">
        <v>6.4889999999999999</v>
      </c>
      <c r="F36" s="13">
        <v>7.2720000000000002</v>
      </c>
      <c r="G36" s="13">
        <v>6.2350000000000003</v>
      </c>
      <c r="H36" s="13">
        <v>6.0000000000000001E-3</v>
      </c>
      <c r="I36" s="13">
        <v>2.8000000000000001E-2</v>
      </c>
      <c r="J36" s="13">
        <v>4.8000000000000001E-2</v>
      </c>
      <c r="K36" s="13">
        <v>1.2E-2</v>
      </c>
      <c r="L36" s="13">
        <v>2.7E-2</v>
      </c>
      <c r="M36" s="6">
        <f t="shared" si="4"/>
        <v>0.12066574202496538</v>
      </c>
      <c r="N36" s="6">
        <f t="shared" si="5"/>
        <v>0.16631916599839613</v>
      </c>
    </row>
    <row r="37" spans="1:14" x14ac:dyDescent="0.25">
      <c r="A37" s="4" t="s">
        <v>13</v>
      </c>
      <c r="B37" s="4" t="s">
        <v>14</v>
      </c>
      <c r="C37" s="13">
        <v>1.7749999999999999</v>
      </c>
      <c r="D37" s="13">
        <v>2.234</v>
      </c>
      <c r="E37" s="13">
        <v>2.6440000000000001</v>
      </c>
      <c r="F37" s="13">
        <v>2.7669999999999999</v>
      </c>
      <c r="G37" s="13">
        <v>2.222</v>
      </c>
      <c r="H37" s="13">
        <v>0.104</v>
      </c>
      <c r="I37" s="13">
        <v>5.0999999999999997E-2</v>
      </c>
      <c r="J37" s="13">
        <v>5.6000000000000001E-2</v>
      </c>
      <c r="K37" s="13">
        <v>5.1999999999999998E-2</v>
      </c>
      <c r="L37" s="13">
        <v>2.5000000000000001E-2</v>
      </c>
      <c r="M37" s="6">
        <f t="shared" si="4"/>
        <v>4.6520423600605057E-2</v>
      </c>
      <c r="N37" s="6">
        <f t="shared" si="5"/>
        <v>0.24527452745274525</v>
      </c>
    </row>
    <row r="38" spans="1:14" x14ac:dyDescent="0.25">
      <c r="A38" s="4" t="s">
        <v>53</v>
      </c>
      <c r="B38" s="4" t="s">
        <v>54</v>
      </c>
      <c r="C38" s="13">
        <v>29.332999999999998</v>
      </c>
      <c r="D38" s="13">
        <v>32.222000000000001</v>
      </c>
      <c r="E38" s="13">
        <v>19.443999999999999</v>
      </c>
      <c r="F38" s="13">
        <v>18.332999999999998</v>
      </c>
      <c r="G38" s="13">
        <v>18.111000000000001</v>
      </c>
      <c r="H38" s="13">
        <v>0.66700000000000004</v>
      </c>
      <c r="I38" s="13">
        <v>0.77</v>
      </c>
      <c r="J38" s="13">
        <v>0.38500000000000001</v>
      </c>
      <c r="K38" s="13">
        <v>0.33300000000000002</v>
      </c>
      <c r="L38" s="13">
        <v>0.50900000000000001</v>
      </c>
      <c r="M38" s="6">
        <f t="shared" si="4"/>
        <v>-5.7138448878831551E-2</v>
      </c>
      <c r="N38" s="6">
        <f t="shared" si="5"/>
        <v>1.2257743912539216E-2</v>
      </c>
    </row>
    <row r="39" spans="1:14" x14ac:dyDescent="0.25">
      <c r="A39" s="4" t="s">
        <v>55</v>
      </c>
      <c r="B39" s="4" t="s">
        <v>56</v>
      </c>
      <c r="C39" s="13">
        <v>3.8010000000000002</v>
      </c>
      <c r="D39" s="13">
        <v>4.71</v>
      </c>
      <c r="E39" s="13">
        <v>3.7429999999999999</v>
      </c>
      <c r="F39" s="13">
        <v>4.07</v>
      </c>
      <c r="G39" s="13">
        <v>3.2170000000000001</v>
      </c>
      <c r="H39" s="13">
        <v>0.09</v>
      </c>
      <c r="I39" s="13">
        <v>9.9000000000000005E-2</v>
      </c>
      <c r="J39" s="13">
        <v>4.7E-2</v>
      </c>
      <c r="K39" s="13">
        <v>5.8999999999999997E-2</v>
      </c>
      <c r="L39" s="13">
        <v>2.1999999999999999E-2</v>
      </c>
      <c r="M39" s="6">
        <f t="shared" si="4"/>
        <v>8.7363077745124348E-2</v>
      </c>
      <c r="N39" s="6">
        <f t="shared" si="5"/>
        <v>0.26515387006527824</v>
      </c>
    </row>
    <row r="40" spans="1:14" x14ac:dyDescent="0.25">
      <c r="A40" s="8" t="s">
        <v>57</v>
      </c>
      <c r="B40" s="8" t="s">
        <v>58</v>
      </c>
      <c r="F40" s="14">
        <v>1.2</v>
      </c>
    </row>
    <row r="42" spans="1:14" x14ac:dyDescent="0.25">
      <c r="A42" s="7" t="s">
        <v>59</v>
      </c>
    </row>
    <row r="43" spans="1:14" ht="45" x14ac:dyDescent="0.25">
      <c r="A43" s="3" t="s">
        <v>60</v>
      </c>
      <c r="B43" s="3" t="s">
        <v>61</v>
      </c>
      <c r="C43" s="3" t="s">
        <v>62</v>
      </c>
      <c r="D43" s="3" t="s">
        <v>63</v>
      </c>
      <c r="E43" s="3" t="s">
        <v>64</v>
      </c>
      <c r="F43" s="3" t="s">
        <v>65</v>
      </c>
      <c r="G43" s="3" t="s">
        <v>66</v>
      </c>
      <c r="H43" s="3" t="s">
        <v>67</v>
      </c>
      <c r="I43" s="3" t="s">
        <v>68</v>
      </c>
      <c r="J43" s="3" t="s">
        <v>69</v>
      </c>
      <c r="K43" s="3" t="s">
        <v>70</v>
      </c>
    </row>
    <row r="44" spans="1:14" x14ac:dyDescent="0.25">
      <c r="A44" s="8" t="s">
        <v>76</v>
      </c>
      <c r="B44" s="15">
        <v>11.8</v>
      </c>
      <c r="C44" s="15">
        <v>8.5</v>
      </c>
      <c r="D44" s="15">
        <v>5</v>
      </c>
      <c r="E44" s="15">
        <v>9.9</v>
      </c>
      <c r="F44" s="15">
        <v>4.2</v>
      </c>
      <c r="G44" s="15">
        <v>23.7</v>
      </c>
      <c r="H44" s="15">
        <v>18</v>
      </c>
      <c r="I44" s="15">
        <v>45.2</v>
      </c>
      <c r="J44" s="15">
        <v>42.9</v>
      </c>
      <c r="K44" s="15">
        <v>46.8</v>
      </c>
    </row>
    <row r="45" spans="1:14" x14ac:dyDescent="0.25">
      <c r="A45" s="8" t="s">
        <v>77</v>
      </c>
      <c r="B45" s="15">
        <v>10.8</v>
      </c>
      <c r="C45" s="15">
        <v>8.5</v>
      </c>
      <c r="D45" s="15">
        <v>0</v>
      </c>
      <c r="E45" s="15">
        <v>0.1</v>
      </c>
      <c r="F45" s="15">
        <v>0</v>
      </c>
      <c r="G45" s="15">
        <v>22.7</v>
      </c>
      <c r="H45" s="15">
        <v>17.7</v>
      </c>
      <c r="I45" s="15">
        <v>59</v>
      </c>
      <c r="J45" s="15">
        <v>51.8</v>
      </c>
      <c r="K45" s="15">
        <v>59.9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1" customWidth="1"/>
    <col min="3" max="11" width="14" customWidth="1"/>
  </cols>
  <sheetData>
    <row r="1" spans="1:11" ht="16.5" x14ac:dyDescent="0.25">
      <c r="A1" s="10" t="s">
        <v>78</v>
      </c>
    </row>
    <row r="2" spans="1:11" x14ac:dyDescent="0.25">
      <c r="A2" s="2" t="s">
        <v>79</v>
      </c>
    </row>
    <row r="4" spans="1:11" x14ac:dyDescent="0.25">
      <c r="A4" s="11" t="s">
        <v>80</v>
      </c>
      <c r="B4" s="12"/>
      <c r="C4" s="12"/>
      <c r="D4" s="12"/>
      <c r="E4" s="12"/>
      <c r="F4" s="12"/>
      <c r="G4" s="12"/>
      <c r="H4" s="12"/>
      <c r="I4" s="12"/>
    </row>
    <row r="5" spans="1:11" ht="45" x14ac:dyDescent="0.25">
      <c r="A5" s="3" t="s">
        <v>3</v>
      </c>
      <c r="B5" s="3" t="s">
        <v>4</v>
      </c>
      <c r="C5" s="3" t="s">
        <v>81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50</v>
      </c>
      <c r="I5" s="3" t="s">
        <v>51</v>
      </c>
    </row>
    <row r="6" spans="1:11" x14ac:dyDescent="0.25">
      <c r="A6" s="4" t="s">
        <v>11</v>
      </c>
      <c r="B6" s="4" t="s">
        <v>12</v>
      </c>
      <c r="C6" s="13">
        <v>529.80499999999995</v>
      </c>
      <c r="D6" s="13">
        <v>483.31599999999997</v>
      </c>
      <c r="E6" s="13">
        <v>814.16399999999999</v>
      </c>
      <c r="F6" s="13">
        <v>817.00300000000004</v>
      </c>
      <c r="G6" s="13">
        <v>797.53599999999994</v>
      </c>
      <c r="H6" s="6">
        <f>IFERROR((F6-E6)/E6,"")</f>
        <v>3.487012444667236E-3</v>
      </c>
      <c r="I6" s="6">
        <f>IFERROR((F6-G6)/G6,"")</f>
        <v>2.4408929502868961E-2</v>
      </c>
    </row>
    <row r="7" spans="1:11" x14ac:dyDescent="0.25">
      <c r="A7" s="4" t="s">
        <v>16</v>
      </c>
      <c r="B7" s="4" t="s">
        <v>17</v>
      </c>
      <c r="C7" s="13">
        <v>6.4640000000000004</v>
      </c>
      <c r="D7" s="13">
        <v>6.5810000000000004</v>
      </c>
      <c r="E7" s="13">
        <v>7.1239999999999997</v>
      </c>
      <c r="F7" s="13">
        <v>7.1139999999999999</v>
      </c>
      <c r="G7" s="13">
        <v>7.069</v>
      </c>
      <c r="H7" s="6">
        <f>IFERROR((F7-E7)/E7,"")</f>
        <v>-1.4037057832677973E-3</v>
      </c>
      <c r="I7" s="6">
        <f>IFERROR((F7-G7)/G7,"")</f>
        <v>6.3658226057433766E-3</v>
      </c>
    </row>
    <row r="8" spans="1:11" x14ac:dyDescent="0.25">
      <c r="A8" s="4" t="s">
        <v>13</v>
      </c>
      <c r="B8" s="4" t="s">
        <v>14</v>
      </c>
      <c r="C8" s="13">
        <v>1.4930000000000001</v>
      </c>
      <c r="D8" s="13">
        <v>1.7969999999999999</v>
      </c>
      <c r="E8" s="13">
        <v>2.2149999999999999</v>
      </c>
      <c r="F8" s="13">
        <v>2.3879999999999999</v>
      </c>
      <c r="G8" s="13">
        <v>2.3050000000000002</v>
      </c>
      <c r="H8" s="6">
        <f>IFERROR((F8-E8)/E8,"")</f>
        <v>7.8103837471783316E-2</v>
      </c>
      <c r="I8" s="6">
        <f>IFERROR((F8-G8)/G8,"")</f>
        <v>3.6008676789587739E-2</v>
      </c>
    </row>
    <row r="9" spans="1:11" x14ac:dyDescent="0.25">
      <c r="A9" s="8" t="s">
        <v>57</v>
      </c>
      <c r="B9" s="8" t="s">
        <v>58</v>
      </c>
      <c r="F9" s="14">
        <v>0.92</v>
      </c>
    </row>
    <row r="10" spans="1:11" x14ac:dyDescent="0.25">
      <c r="A10" s="8" t="s">
        <v>86</v>
      </c>
      <c r="B10" s="8" t="s">
        <v>14</v>
      </c>
      <c r="F10" s="14">
        <v>0.77</v>
      </c>
    </row>
    <row r="12" spans="1:11" ht="45" x14ac:dyDescent="0.25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67</v>
      </c>
      <c r="I12" s="3" t="s">
        <v>68</v>
      </c>
      <c r="J12" s="3" t="s">
        <v>69</v>
      </c>
      <c r="K12" s="3" t="s">
        <v>70</v>
      </c>
    </row>
    <row r="13" spans="1:11" x14ac:dyDescent="0.25">
      <c r="A13" s="8" t="s">
        <v>71</v>
      </c>
      <c r="B13" s="15">
        <v>11.3</v>
      </c>
      <c r="C13" s="15">
        <v>8.5</v>
      </c>
      <c r="D13" s="15">
        <v>5</v>
      </c>
      <c r="E13" s="15">
        <v>5.7</v>
      </c>
      <c r="F13" s="15">
        <v>5.3</v>
      </c>
      <c r="G13" s="15">
        <v>23.4</v>
      </c>
      <c r="H13" s="15">
        <v>18.3</v>
      </c>
      <c r="I13" s="15">
        <v>48.5</v>
      </c>
      <c r="J13" s="15">
        <v>48.2</v>
      </c>
      <c r="K13" s="15">
        <v>48.6</v>
      </c>
    </row>
    <row r="16" spans="1:11" x14ac:dyDescent="0.25">
      <c r="A16" s="11" t="s">
        <v>87</v>
      </c>
      <c r="B16" s="12"/>
      <c r="C16" s="12"/>
      <c r="D16" s="12"/>
      <c r="E16" s="12"/>
      <c r="F16" s="12"/>
      <c r="G16" s="12"/>
      <c r="H16" s="12"/>
      <c r="I16" s="12"/>
    </row>
    <row r="17" spans="1:9" ht="45" x14ac:dyDescent="0.25">
      <c r="A17" s="3" t="s">
        <v>3</v>
      </c>
      <c r="B17" s="3" t="s">
        <v>4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50</v>
      </c>
      <c r="I17" s="3" t="s">
        <v>51</v>
      </c>
    </row>
    <row r="18" spans="1:9" x14ac:dyDescent="0.25">
      <c r="A18" s="4" t="s">
        <v>11</v>
      </c>
      <c r="B18" s="4" t="s">
        <v>12</v>
      </c>
      <c r="C18" s="13">
        <v>285.66899999999998</v>
      </c>
      <c r="D18" s="13">
        <v>287.13299999999998</v>
      </c>
      <c r="E18" s="13">
        <v>313.79399999999998</v>
      </c>
      <c r="F18" s="13">
        <v>286.101</v>
      </c>
      <c r="G18" s="13">
        <v>282.67599999999999</v>
      </c>
      <c r="H18" s="6">
        <f>IFERROR((F18-E18)/E18,"")</f>
        <v>-8.8252165433373442E-2</v>
      </c>
      <c r="I18" s="6">
        <f>IFERROR((F18-G18)/G18,"")</f>
        <v>1.2116345215016526E-2</v>
      </c>
    </row>
    <row r="19" spans="1:9" x14ac:dyDescent="0.25">
      <c r="A19" s="4" t="s">
        <v>16</v>
      </c>
      <c r="B19" s="4" t="s">
        <v>17</v>
      </c>
      <c r="C19" s="13">
        <v>1.93</v>
      </c>
      <c r="D19" s="13">
        <v>1.946</v>
      </c>
      <c r="E19" s="13">
        <v>2.149</v>
      </c>
      <c r="F19" s="13">
        <v>1.9630000000000001</v>
      </c>
      <c r="G19" s="13">
        <v>1.925</v>
      </c>
      <c r="H19" s="6">
        <f>IFERROR((F19-E19)/E19,"")</f>
        <v>-8.655188459748718E-2</v>
      </c>
      <c r="I19" s="6">
        <f>IFERROR((F19-G19)/G19,"")</f>
        <v>1.9740259740259756E-2</v>
      </c>
    </row>
    <row r="20" spans="1:9" x14ac:dyDescent="0.25">
      <c r="A20" s="4" t="s">
        <v>13</v>
      </c>
      <c r="B20" s="4" t="s">
        <v>14</v>
      </c>
      <c r="C20" s="13">
        <v>9.08</v>
      </c>
      <c r="D20" s="13">
        <v>8.4489999999999998</v>
      </c>
      <c r="E20" s="13">
        <v>5.3250000000000002</v>
      </c>
      <c r="F20" s="13">
        <v>2.903</v>
      </c>
      <c r="G20" s="13">
        <v>2.8109999999999999</v>
      </c>
      <c r="H20" s="6">
        <f>IFERROR((F20-E20)/E20,"")</f>
        <v>-0.4548356807511737</v>
      </c>
      <c r="I20" s="6">
        <f>IFERROR((F20-G20)/G20,"")</f>
        <v>3.2728566346495937E-2</v>
      </c>
    </row>
    <row r="21" spans="1:9" x14ac:dyDescent="0.25">
      <c r="A21" s="8" t="s">
        <v>57</v>
      </c>
      <c r="B21" s="8" t="s">
        <v>58</v>
      </c>
      <c r="F21" s="14">
        <v>2.4900000000000002</v>
      </c>
    </row>
    <row r="22" spans="1:9" x14ac:dyDescent="0.25">
      <c r="A22" s="8" t="s">
        <v>86</v>
      </c>
      <c r="B22" s="8" t="s">
        <v>14</v>
      </c>
      <c r="F22" s="14">
        <v>1.51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Results_pre_lag</vt:lpstr>
      <vt:lpstr>Results_post_lag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Tankhun Tanny</cp:lastModifiedBy>
  <cp:revision>0</cp:revision>
  <dcterms:created xsi:type="dcterms:W3CDTF">2026-10-01T17:06:40Z</dcterms:created>
  <dcterms:modified xsi:type="dcterms:W3CDTF">2026-10-01T17:39:37Z</dcterms:modified>
  <dc:language>en-US</dc:language>
</cp:coreProperties>
</file>